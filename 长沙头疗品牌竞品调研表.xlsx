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头疗竞品调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8"/>
      </patternFill>
    </fill>
    <fill>
      <patternFill patternType="solid">
        <fgColor rgb="002E5C8A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8" customWidth="1" min="4" max="4"/>
    <col width="24" customWidth="1" min="5" max="5"/>
    <col width="16" customWidth="1" min="6" max="6"/>
    <col width="12" customWidth="1" min="7" max="7"/>
    <col width="16" customWidth="1" min="8" max="8"/>
    <col width="12" customWidth="1" min="9" max="9"/>
    <col width="26" customWidth="1" min="10" max="10"/>
  </cols>
  <sheetData>
    <row r="1" ht="34" customHeight="1">
      <c r="A1" s="1" t="inlineStr">
        <is>
          <t>长沙区域头疗品牌竞品调研表（含网络初筛数据）</t>
        </is>
      </c>
    </row>
    <row r="2" ht="22" customHeight="1">
      <c r="A2" s="2" t="inlineStr">
        <is>
          <t>调研人：___________    调研日期：2026-07-14    数据来源：网络搜集（大众点评/官网/行业文），门店数与价格以实地/大众点评复核为准</t>
        </is>
      </c>
    </row>
    <row r="3" ht="30" customHeight="1">
      <c r="A3" s="3" t="inlineStr">
        <is>
          <t>序号</t>
        </is>
      </c>
      <c r="B3" s="3" t="inlineStr">
        <is>
          <t>品牌名称</t>
        </is>
      </c>
      <c r="C3" s="3" t="inlineStr">
        <is>
          <t>门店数量(家)</t>
        </is>
      </c>
      <c r="D3" s="3" t="inlineStr">
        <is>
          <t>分布区域</t>
        </is>
      </c>
      <c r="E3" s="3" t="inlineStr">
        <is>
          <t>项目类型</t>
        </is>
      </c>
      <c r="F3" s="3" t="inlineStr">
        <is>
          <t>门店类型</t>
        </is>
      </c>
      <c r="G3" s="3" t="inlineStr">
        <is>
          <t>装修档次</t>
        </is>
      </c>
      <c r="H3" s="3" t="inlineStr">
        <is>
          <t>是否推广</t>
        </is>
      </c>
      <c r="I3" s="3" t="inlineStr">
        <is>
          <t>均价(元/次)</t>
        </is>
      </c>
      <c r="J3" s="3" t="inlineStr">
        <is>
          <t>备注</t>
        </is>
      </c>
    </row>
    <row r="4" ht="28" customHeight="1">
      <c r="A4" s="4" t="n">
        <v>1</v>
      </c>
      <c r="B4" s="5" t="inlineStr">
        <is>
          <t>珂溪（本品牌·示例可删）</t>
        </is>
      </c>
      <c r="C4" s="4" t="n">
        <v>7</v>
      </c>
      <c r="D4" s="5" t="inlineStr">
        <is>
          <t>长沙多区（示例）</t>
        </is>
      </c>
      <c r="E4" s="5" t="inlineStr">
        <is>
          <t>头疗/养发/肩颈调理</t>
        </is>
      </c>
      <c r="F4" s="5" t="inlineStr">
        <is>
          <t>商场店+街边店</t>
        </is>
      </c>
      <c r="G4" s="4" t="inlineStr">
        <is>
          <t>精装</t>
        </is>
      </c>
      <c r="H4" s="4" t="inlineStr">
        <is>
          <t>是（抖音/大众点评）</t>
        </is>
      </c>
      <c r="I4" s="4" t="n">
        <v>198</v>
      </c>
      <c r="J4" s="5" t="inlineStr">
        <is>
          <t>直营不加盟，靠服务不靠办卡</t>
        </is>
      </c>
    </row>
    <row r="5" ht="28" customHeight="1">
      <c r="A5" s="6" t="n">
        <v>2</v>
      </c>
      <c r="B5" s="7" t="inlineStr">
        <is>
          <t>头教受头疗养发馆</t>
        </is>
      </c>
      <c r="C5" s="6" t="n">
        <v>2</v>
      </c>
      <c r="D5" s="7" t="inlineStr">
        <is>
          <t>开福区（华远华时代等）</t>
        </is>
      </c>
      <c r="E5" s="7" t="inlineStr">
        <is>
          <t>头疗/肩颈/洗头/头皮清洁</t>
        </is>
      </c>
      <c r="F5" s="7" t="inlineStr">
        <is>
          <t>商场店</t>
        </is>
      </c>
      <c r="G5" s="6" t="inlineStr">
        <is>
          <t>待核</t>
        </is>
      </c>
      <c r="H5" s="6" t="inlineStr">
        <is>
          <t>是（大众点评/团购）</t>
        </is>
      </c>
      <c r="I5" s="6" t="n">
        <v>152</v>
      </c>
      <c r="J5" s="7" t="inlineStr">
        <is>
          <t>大众点评显示消费152元、含1家分店；长沙本地品牌</t>
        </is>
      </c>
    </row>
    <row r="6" ht="28" customHeight="1">
      <c r="A6" s="6" t="n">
        <v>3</v>
      </c>
      <c r="B6" s="7" t="inlineStr">
        <is>
          <t>丝域养发</t>
        </is>
      </c>
      <c r="C6" s="6" t="n"/>
      <c r="D6" s="7" t="inlineStr">
        <is>
          <t>长沙多区（待核）</t>
        </is>
      </c>
      <c r="E6" s="7" t="inlineStr">
        <is>
          <t>防脱固发/头皮调理/发质修护</t>
        </is>
      </c>
      <c r="F6" s="7" t="inlineStr">
        <is>
          <t>商场店</t>
        </is>
      </c>
      <c r="G6" s="6" t="inlineStr">
        <is>
          <t>待核</t>
        </is>
      </c>
      <c r="H6" s="6" t="inlineStr">
        <is>
          <t>是（大众点评/美团）</t>
        </is>
      </c>
      <c r="I6" s="6" t="n"/>
      <c r="J6" s="7" t="inlineStr">
        <is>
          <t>全国2000+店、长沙有店；养发为主、头疗项目较单一</t>
        </is>
      </c>
    </row>
    <row r="7" ht="28" customHeight="1">
      <c r="A7" s="6" t="n">
        <v>4</v>
      </c>
      <c r="B7" s="7" t="inlineStr">
        <is>
          <t>头道汤</t>
        </is>
      </c>
      <c r="C7" s="6" t="n"/>
      <c r="D7" s="7" t="inlineStr">
        <is>
          <t>长沙多区（待核）</t>
        </is>
      </c>
      <c r="E7" s="7" t="inlineStr">
        <is>
          <t>头疗/肩颈/瑶浴养生</t>
        </is>
      </c>
      <c r="F7" s="7" t="inlineStr">
        <is>
          <t>街边+商场</t>
        </is>
      </c>
      <c r="G7" s="6" t="inlineStr">
        <is>
          <t>待核</t>
        </is>
      </c>
      <c r="H7" s="6" t="inlineStr">
        <is>
          <t>是（抖音/团购）</t>
        </is>
      </c>
      <c r="I7" s="6" t="n"/>
      <c r="J7" s="7" t="inlineStr">
        <is>
          <t>头疗全国龙头；团购39.9抢128元（参考价）</t>
        </is>
      </c>
    </row>
    <row r="8" ht="28" customHeight="1">
      <c r="A8" s="6" t="n">
        <v>5</v>
      </c>
      <c r="B8" s="7" t="inlineStr">
        <is>
          <t>头趣 Touqu</t>
        </is>
      </c>
      <c r="C8" s="6" t="n"/>
      <c r="D8" s="7" t="inlineStr">
        <is>
          <t>长沙（待核）</t>
        </is>
      </c>
      <c r="E8" s="7" t="inlineStr">
        <is>
          <t>头皮护理/防脱育发/沉浸式头疗</t>
        </is>
      </c>
      <c r="F8" s="7" t="inlineStr">
        <is>
          <t>商场+街边</t>
        </is>
      </c>
      <c r="G8" s="6" t="inlineStr">
        <is>
          <t>待核</t>
        </is>
      </c>
      <c r="H8" s="6" t="inlineStr">
        <is>
          <t>是</t>
        </is>
      </c>
      <c r="I8" s="6" t="n"/>
      <c r="J8" s="7" t="inlineStr">
        <is>
          <t>全国1000+门店（2026新创）；科学养发定位</t>
        </is>
      </c>
    </row>
    <row r="9" ht="28" customHeight="1">
      <c r="A9" s="6" t="n">
        <v>6</v>
      </c>
      <c r="B9" s="7" t="inlineStr">
        <is>
          <t>俏博士养发</t>
        </is>
      </c>
      <c r="C9" s="6" t="n"/>
      <c r="D9" s="7" t="inlineStr">
        <is>
          <t>长沙（待核）</t>
        </is>
      </c>
      <c r="E9" s="7" t="inlineStr">
        <is>
          <t>白发养护/脱发修护/头皮调理</t>
        </is>
      </c>
      <c r="F9" s="7" t="inlineStr">
        <is>
          <t>商场/社区</t>
        </is>
      </c>
      <c r="G9" s="6" t="inlineStr">
        <is>
          <t>待核</t>
        </is>
      </c>
      <c r="H9" s="6" t="inlineStr">
        <is>
          <t>是</t>
        </is>
      </c>
      <c r="I9" s="6" t="n"/>
      <c r="J9" s="7" t="inlineStr">
        <is>
          <t>长沙本地全链路自营养发品牌</t>
        </is>
      </c>
    </row>
    <row r="10" ht="28" customHeight="1">
      <c r="A10" s="6" t="n">
        <v>7</v>
      </c>
      <c r="B10" s="7" t="inlineStr">
        <is>
          <t>国颐堂养发</t>
        </is>
      </c>
      <c r="C10" s="6" t="n"/>
      <c r="D10" s="7" t="inlineStr">
        <is>
          <t>长沙（待核）</t>
        </is>
      </c>
      <c r="E10" s="7" t="inlineStr">
        <is>
          <t>草本养发/白发调理/防脱固发</t>
        </is>
      </c>
      <c r="F10" s="7" t="inlineStr">
        <is>
          <t>商场/社区</t>
        </is>
      </c>
      <c r="G10" s="6" t="inlineStr">
        <is>
          <t>待核</t>
        </is>
      </c>
      <c r="H10" s="6" t="inlineStr">
        <is>
          <t>是</t>
        </is>
      </c>
      <c r="I10" s="6" t="n"/>
      <c r="J10" s="7" t="inlineStr">
        <is>
          <t>长沙有店，草本路线</t>
        </is>
      </c>
    </row>
    <row r="11" ht="28" customHeight="1">
      <c r="A11" s="6" t="n">
        <v>8</v>
      </c>
      <c r="B11" s="7" t="inlineStr">
        <is>
          <t>泽发·超级护发</t>
        </is>
      </c>
      <c r="C11" s="6" t="n"/>
      <c r="D11" s="7" t="inlineStr">
        <is>
          <t>长沙（待核）</t>
        </is>
      </c>
      <c r="E11" s="7" t="inlineStr">
        <is>
          <t>头疗养发/头皮检测</t>
        </is>
      </c>
      <c r="F11" s="7" t="inlineStr">
        <is>
          <t>商场</t>
        </is>
      </c>
      <c r="G11" s="6" t="inlineStr">
        <is>
          <t>待核</t>
        </is>
      </c>
      <c r="H11" s="6" t="inlineStr">
        <is>
          <t>是</t>
        </is>
      </c>
      <c r="I11" s="6" t="n"/>
      <c r="J11" s="7" t="inlineStr">
        <is>
          <t>全国60家直营+200；全产业链头皮大健康</t>
        </is>
      </c>
    </row>
    <row r="12" ht="28" customHeight="1">
      <c r="A12" s="6" t="n">
        <v>9</v>
      </c>
      <c r="B12" s="7" t="inlineStr">
        <is>
          <t>博士园</t>
        </is>
      </c>
      <c r="C12" s="6" t="n"/>
      <c r="D12" s="7" t="inlineStr">
        <is>
          <t>长沙（待核）</t>
        </is>
      </c>
      <c r="E12" s="7" t="inlineStr">
        <is>
          <t>防脱育发/毛发移植（偏医疗）</t>
        </is>
      </c>
      <c r="F12" s="7" t="inlineStr">
        <is>
          <t>商场/写字楼</t>
        </is>
      </c>
      <c r="G12" s="6" t="inlineStr">
        <is>
          <t>待核</t>
        </is>
      </c>
      <c r="H12" s="6" t="inlineStr">
        <is>
          <t>是</t>
        </is>
      </c>
      <c r="I12" s="6" t="n"/>
      <c r="J12" s="7" t="inlineStr">
        <is>
          <t>全国1500+家，毛发医疗背景</t>
        </is>
      </c>
    </row>
    <row r="13" ht="28" customHeight="1">
      <c r="A13" s="6" t="n">
        <v>10</v>
      </c>
      <c r="B13" s="7" t="inlineStr">
        <is>
          <t>厘舍 SPA</t>
        </is>
      </c>
      <c r="C13" s="6" t="n">
        <v>50</v>
      </c>
      <c r="D13" s="7" t="inlineStr">
        <is>
          <t>长沙多区</t>
        </is>
      </c>
      <c r="E13" s="7" t="inlineStr">
        <is>
          <t>SPA/头疗放松/身体护理</t>
        </is>
      </c>
      <c r="F13" s="7" t="inlineStr">
        <is>
          <t>商场+街边</t>
        </is>
      </c>
      <c r="G13" s="6" t="inlineStr">
        <is>
          <t>精装</t>
        </is>
      </c>
      <c r="H13" s="6" t="inlineStr">
        <is>
          <t>是</t>
        </is>
      </c>
      <c r="I13" s="6" t="n"/>
      <c r="J13" s="7" t="inlineStr">
        <is>
          <t>长沙本地SPA连锁，1.5年开50家且全盈利；业态相近</t>
        </is>
      </c>
    </row>
    <row r="14" ht="24" customHeight="1">
      <c r="A14" s="6" t="n">
        <v>11</v>
      </c>
      <c r="B14" s="7" t="n"/>
      <c r="C14" s="6" t="n"/>
      <c r="D14" s="7" t="n"/>
      <c r="E14" s="7" t="n"/>
      <c r="F14" s="7" t="n"/>
      <c r="G14" s="6" t="n"/>
      <c r="H14" s="6" t="n"/>
      <c r="I14" s="6" t="n"/>
      <c r="J14" s="7" t="n"/>
    </row>
    <row r="15" ht="24" customHeight="1">
      <c r="A15" s="6" t="n">
        <v>12</v>
      </c>
      <c r="B15" s="7" t="n"/>
      <c r="C15" s="6" t="n"/>
      <c r="D15" s="7" t="n"/>
      <c r="E15" s="7" t="n"/>
      <c r="F15" s="7" t="n"/>
      <c r="G15" s="6" t="n"/>
      <c r="H15" s="6" t="n"/>
      <c r="I15" s="6" t="n"/>
      <c r="J15" s="7" t="n"/>
    </row>
    <row r="16" ht="24" customHeight="1">
      <c r="A16" s="6" t="n">
        <v>13</v>
      </c>
      <c r="B16" s="7" t="n"/>
      <c r="C16" s="6" t="n"/>
      <c r="D16" s="7" t="n"/>
      <c r="E16" s="7" t="n"/>
      <c r="F16" s="7" t="n"/>
      <c r="G16" s="6" t="n"/>
      <c r="H16" s="6" t="n"/>
      <c r="I16" s="6" t="n"/>
      <c r="J16" s="7" t="n"/>
    </row>
    <row r="17" ht="24" customHeight="1">
      <c r="A17" s="6" t="n">
        <v>14</v>
      </c>
      <c r="B17" s="7" t="n"/>
      <c r="C17" s="6" t="n"/>
      <c r="D17" s="7" t="n"/>
      <c r="E17" s="7" t="n"/>
      <c r="F17" s="7" t="n"/>
      <c r="G17" s="6" t="n"/>
      <c r="H17" s="6" t="n"/>
      <c r="I17" s="6" t="n"/>
      <c r="J17" s="7" t="n"/>
    </row>
    <row r="18" ht="24" customHeight="1">
      <c r="A18" s="6" t="n">
        <v>15</v>
      </c>
      <c r="B18" s="7" t="n"/>
      <c r="C18" s="6" t="n"/>
      <c r="D18" s="7" t="n"/>
      <c r="E18" s="7" t="n"/>
      <c r="F18" s="7" t="n"/>
      <c r="G18" s="6" t="n"/>
      <c r="H18" s="6" t="n"/>
      <c r="I18" s="6" t="n"/>
      <c r="J18" s="7" t="n"/>
    </row>
    <row r="19" ht="24" customHeight="1">
      <c r="A19" s="6" t="n">
        <v>16</v>
      </c>
      <c r="B19" s="7" t="n"/>
      <c r="C19" s="6" t="n"/>
      <c r="D19" s="7" t="n"/>
      <c r="E19" s="7" t="n"/>
      <c r="F19" s="7" t="n"/>
      <c r="G19" s="6" t="n"/>
      <c r="H19" s="6" t="n"/>
      <c r="I19" s="6" t="n"/>
      <c r="J19" s="7" t="n"/>
    </row>
    <row r="20" ht="24" customHeight="1">
      <c r="A20" s="6" t="n">
        <v>17</v>
      </c>
      <c r="B20" s="7" t="n"/>
      <c r="C20" s="6" t="n"/>
      <c r="D20" s="7" t="n"/>
      <c r="E20" s="7" t="n"/>
      <c r="F20" s="7" t="n"/>
      <c r="G20" s="6" t="n"/>
      <c r="H20" s="6" t="n"/>
      <c r="I20" s="6" t="n"/>
      <c r="J20" s="7" t="n"/>
    </row>
    <row r="21" ht="24" customHeight="1">
      <c r="A21" s="6" t="n">
        <v>18</v>
      </c>
      <c r="B21" s="7" t="n"/>
      <c r="C21" s="6" t="n"/>
      <c r="D21" s="7" t="n"/>
      <c r="E21" s="7" t="n"/>
      <c r="F21" s="7" t="n"/>
      <c r="G21" s="6" t="n"/>
      <c r="H21" s="6" t="n"/>
      <c r="I21" s="6" t="n"/>
      <c r="J21" s="7" t="n"/>
    </row>
    <row r="22" ht="24" customHeight="1">
      <c r="A22" s="6" t="n">
        <v>19</v>
      </c>
      <c r="B22" s="7" t="n"/>
      <c r="C22" s="6" t="n"/>
      <c r="D22" s="7" t="n"/>
      <c r="E22" s="7" t="n"/>
      <c r="F22" s="7" t="n"/>
      <c r="G22" s="6" t="n"/>
      <c r="H22" s="6" t="n"/>
      <c r="I22" s="6" t="n"/>
      <c r="J22" s="7" t="n"/>
    </row>
    <row r="23" ht="24" customHeight="1">
      <c r="A23" s="6" t="n">
        <v>20</v>
      </c>
      <c r="B23" s="7" t="n"/>
      <c r="C23" s="6" t="n"/>
      <c r="D23" s="7" t="n"/>
      <c r="E23" s="7" t="n"/>
      <c r="F23" s="7" t="n"/>
      <c r="G23" s="6" t="n"/>
      <c r="H23" s="6" t="n"/>
      <c r="I23" s="6" t="n"/>
      <c r="J23" s="7" t="n"/>
    </row>
    <row r="24" ht="24" customHeight="1">
      <c r="A24" s="8" t="inlineStr">
        <is>
          <t>统计汇总</t>
        </is>
      </c>
      <c r="C24" s="8">
        <f>COUNTA(B4:B23)</f>
        <v/>
      </c>
      <c r="D24" s="9" t="inlineStr">
        <is>
          <t>品牌数</t>
        </is>
      </c>
      <c r="E24" s="8">
        <f>SUM(C4:C23)</f>
        <v/>
      </c>
      <c r="F24" s="9" t="inlineStr">
        <is>
          <t>门店总数(家)</t>
        </is>
      </c>
      <c r="G24" s="9" t="inlineStr">
        <is>
          <t>均价区间</t>
        </is>
      </c>
      <c r="H24" s="9">
        <f>"最低 "&amp;MIN(I4:I23)&amp;" / 均 "&amp;ROUND(AVERAGE(I4:I23),0)&amp;" / 最高 "&amp;MAX(I4:I23)</f>
        <v/>
      </c>
    </row>
    <row r="25" ht="30" customHeight="1">
      <c r="A25" s="10" t="inlineStr">
        <is>
          <t>统计口径：品牌数=已填品牌名数（含本品牌示例行，可删）；门店总数=已填数字求和（待核品牌未计入）；均价区间=仅对已填数字的行计算。门店数/均价多为网络初筛，留空项请按大众点评/实地复核后补填。</t>
        </is>
      </c>
    </row>
    <row r="27" ht="26" customHeight="1">
      <c r="A27" s="11" t="inlineStr">
        <is>
          <t>字段填写指引</t>
        </is>
      </c>
    </row>
    <row r="28" ht="22" customHeight="1">
      <c r="A28" s="12" t="inlineStr">
        <is>
          <t>品牌名称</t>
        </is>
      </c>
      <c r="B28" s="5" t="inlineStr">
        <is>
          <t>竞品品牌全称</t>
        </is>
      </c>
    </row>
    <row r="29" ht="22" customHeight="1">
      <c r="A29" s="12" t="inlineStr">
        <is>
          <t>门店数量(家)</t>
        </is>
      </c>
      <c r="B29" s="5" t="inlineStr">
        <is>
          <t>该品牌在长沙的门店总数，填数字；未知留空待核</t>
        </is>
      </c>
    </row>
    <row r="30" ht="22" customHeight="1">
      <c r="A30" s="12" t="inlineStr">
        <is>
          <t>分布区域</t>
        </is>
      </c>
      <c r="B30" s="5" t="inlineStr">
        <is>
          <t>主要商圈/行政区，如「五一广场/岳麓区/开福区」</t>
        </is>
      </c>
    </row>
    <row r="31" ht="22" customHeight="1">
      <c r="A31" s="12" t="inlineStr">
        <is>
          <t>项目类型</t>
        </is>
      </c>
      <c r="B31" s="5" t="inlineStr">
        <is>
          <t>头疗/养发/肩颈/采耳/洗头，可多选</t>
        </is>
      </c>
    </row>
    <row r="32" ht="22" customHeight="1">
      <c r="A32" s="12" t="inlineStr">
        <is>
          <t>门店类型</t>
        </is>
      </c>
      <c r="B32" s="5" t="inlineStr">
        <is>
          <t>街边店 / 商场店 / 社区店 / 写字楼店</t>
        </is>
      </c>
    </row>
    <row r="33" ht="22" customHeight="1">
      <c r="A33" s="12" t="inlineStr">
        <is>
          <t>装修档次</t>
        </is>
      </c>
      <c r="B33" s="5" t="inlineStr">
        <is>
          <t>简装 / 标准 / 精装 / 轻奢（即"是否装修"）</t>
        </is>
      </c>
    </row>
    <row r="34" ht="22" customHeight="1">
      <c r="A34" s="12" t="inlineStr">
        <is>
          <t>是否推广</t>
        </is>
      </c>
      <c r="B34" s="5" t="inlineStr">
        <is>
          <t>是否做推广投放，如抖音/大众点评/美团，填 是/否 或渠道</t>
        </is>
      </c>
    </row>
    <row r="35" ht="22" customHeight="1">
      <c r="A35" s="12" t="inlineStr">
        <is>
          <t>均价(元/次)</t>
        </is>
      </c>
      <c r="B35" s="5" t="inlineStr">
        <is>
          <t>主流项目单次到店价，填数字便于比价；未知留空</t>
        </is>
      </c>
    </row>
    <row r="36" ht="22" customHeight="1">
      <c r="A36" s="12" t="inlineStr">
        <is>
          <t>备注</t>
        </is>
      </c>
      <c r="B36" s="5" t="inlineStr">
        <is>
          <t>特色/活动/观察/数据来源说明</t>
        </is>
      </c>
    </row>
  </sheetData>
  <mergeCells count="15">
    <mergeCell ref="B29:J29"/>
    <mergeCell ref="B33:J33"/>
    <mergeCell ref="A1:J1"/>
    <mergeCell ref="A24:B24"/>
    <mergeCell ref="H24:J24"/>
    <mergeCell ref="B34:J34"/>
    <mergeCell ref="B28:J28"/>
    <mergeCell ref="A27:J27"/>
    <mergeCell ref="B36:J36"/>
    <mergeCell ref="B32:J32"/>
    <mergeCell ref="B31:J31"/>
    <mergeCell ref="B35:J35"/>
    <mergeCell ref="A2:J2"/>
    <mergeCell ref="A25:J25"/>
    <mergeCell ref="B30:J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2026-07-14T04:20:00Z</dcterms:created>
  <dcterms:modified xmlns:dcterms="http://purl.org/dc/terms/" xmlns:xsi="http://www.w3.org/2001/XMLSchema-instance" xsi:type="dcterms:W3CDTF">2026-07-14T04:20:00Z</dcterms:modified>
</cp:coreProperties>
</file>